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os_Execu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217346"/>
        <bgColor rgb="FF217346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22.5" customHeight="1">
      <c r="A1" s="1" t="inlineStr">
        <is>
          <t>Função</t>
        </is>
      </c>
      <c r="B1" s="1" t="inlineStr">
        <is>
          <t>Fibonaccil(500.000)</t>
        </is>
      </c>
      <c r="C1" s="1" t="inlineStr">
        <is>
          <t>Factorial(50.000, 1)</t>
        </is>
      </c>
      <c r="D1" s="1" t="inlineStr">
        <is>
          <t>Sum (5.000.000)</t>
        </is>
      </c>
      <c r="E1" s="1" t="inlineStr">
        <is>
          <t>mdc(fib(500), fib(501))</t>
        </is>
      </c>
      <c r="F1" s="1" t="inlineStr">
        <is>
          <t>woodcutter([1, ..., 100001), 1250025000, 0, max(arvores))</t>
        </is>
      </c>
      <c r="G1" s="1" t="inlineStr">
        <is>
          <t>Binary_Search_Tree()</t>
        </is>
      </c>
      <c r="H1" s="1" t="inlineStr">
        <is>
          <t>quick_select()</t>
        </is>
      </c>
      <c r="I1" s="1" t="inlineStr">
        <is>
          <t>identical_strings()</t>
        </is>
      </c>
      <c r="J1" s="1" t="inlineStr">
        <is>
          <t>linear_search()</t>
        </is>
      </c>
      <c r="K1" s="1" t="inlineStr">
        <is>
          <t>non_negative_int_contain_digit()</t>
        </is>
      </c>
      <c r="L1" s="1" t="inlineStr">
        <is>
          <t>Hannoi (20)</t>
        </is>
      </c>
      <c r="M1" s="1" t="inlineStr">
        <is>
          <t>MergeSort(1.000.000)</t>
        </is>
      </c>
      <c r="N1" s="1" t="inlineStr">
        <is>
          <t>NumSearchTree (18)</t>
        </is>
      </c>
      <c r="O1" s="1" t="inlineStr">
        <is>
          <t>fast_pow(2, 10.000)</t>
        </is>
      </c>
      <c r="P1" s="1" t="inlineStr">
        <is>
          <t>count_bits((1 &lt;&lt; 20) - 1)</t>
        </is>
      </c>
      <c r="Q1" s="1" t="inlineStr">
        <is>
          <t>flatten()</t>
        </is>
      </c>
      <c r="R1" s="1" t="inlineStr">
        <is>
          <t>first_missing(range(500))</t>
        </is>
      </c>
      <c r="S1" s="1" t="inlineStr">
        <is>
          <t>is_valid_bst(1.000)</t>
        </is>
      </c>
      <c r="T1" s="1" t="inlineStr">
        <is>
          <t>fib_memo(35)</t>
        </is>
      </c>
      <c r="U1" s="1" t="inlineStr">
        <is>
          <t>countdown(500)</t>
        </is>
      </c>
      <c r="V1" s="1" t="inlineStr">
        <is>
          <t>safe_parse(['1','abc','3',None,'5'] * 200)</t>
        </is>
      </c>
      <c r="W1" s="1" t="inlineStr">
        <is>
          <t>sum_nested()</t>
        </is>
      </c>
      <c r="X1" s="1" t="inlineStr">
        <is>
          <t>remove_keys(dict)</t>
        </is>
      </c>
      <c r="Y1" s="1" t="inlineStr">
        <is>
          <t>find_first(range(1.000), x &gt; 5000)</t>
        </is>
      </c>
      <c r="Z1" s="1" t="inlineStr">
        <is>
          <t>count_matches([1,2,3] * 333, 2)</t>
        </is>
      </c>
    </row>
    <row r="2" ht="22.5" customHeight="1">
      <c r="A2" s="2" t="inlineStr">
        <is>
          <t>Tempo_Recursao_Media</t>
        </is>
      </c>
      <c r="B2" s="3" t="n">
        <v>13.1</v>
      </c>
      <c r="C2" s="3" t="n">
        <v>13.2859</v>
      </c>
      <c r="D2" s="3" t="n">
        <v>1.3106</v>
      </c>
      <c r="E2" s="3" t="n">
        <v>0.2096</v>
      </c>
      <c r="F2" s="3" t="n">
        <v>5.2916</v>
      </c>
      <c r="G2" s="3" t="n">
        <v>0.0021</v>
      </c>
      <c r="H2" s="3" t="n">
        <v>4.7541</v>
      </c>
      <c r="I2" s="3" t="n">
        <v>51.3047</v>
      </c>
      <c r="J2" s="3" t="n">
        <v>2.0911</v>
      </c>
      <c r="K2" s="3" t="n">
        <v>0.452</v>
      </c>
      <c r="L2" s="3" t="n">
        <v>0.8354</v>
      </c>
      <c r="M2" s="3" t="n">
        <v>1.3045</v>
      </c>
      <c r="N2" s="3" t="n">
        <v>66.3489</v>
      </c>
      <c r="O2" s="3" t="n">
        <v>0.0258</v>
      </c>
      <c r="P2" s="3" t="n">
        <v>0.0012</v>
      </c>
      <c r="Q2" s="3" t="n">
        <v>0.008200000000000001</v>
      </c>
      <c r="R2" s="3" t="n">
        <v>0.6666</v>
      </c>
      <c r="S2" s="3" t="n">
        <v>0.1125</v>
      </c>
      <c r="T2" s="3" t="n">
        <v>0.0106</v>
      </c>
      <c r="U2" s="3" t="n">
        <v>1.2787</v>
      </c>
      <c r="V2" s="3" t="n">
        <v>4.4557</v>
      </c>
      <c r="W2" s="3" t="n">
        <v>0.0051</v>
      </c>
      <c r="X2" s="3" t="n">
        <v>0.1539</v>
      </c>
      <c r="Y2" s="3" t="n">
        <v>0.1422</v>
      </c>
      <c r="Z2" s="3" t="n">
        <v>1.9323</v>
      </c>
    </row>
    <row r="3" ht="22.5" customHeight="1">
      <c r="A3" s="4" t="inlineStr">
        <is>
          <t>Tempo_Iteracao_Tail_Media</t>
        </is>
      </c>
      <c r="B3" s="5" t="n">
        <v>8.2751</v>
      </c>
      <c r="C3" s="5" t="n">
        <v>5.5398</v>
      </c>
      <c r="D3" s="5" t="n">
        <v>0.5004999999999999</v>
      </c>
      <c r="E3" s="5" t="n">
        <v>0.1204</v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5" t="n">
        <v>9.170299999999999</v>
      </c>
      <c r="J3" s="5" t="n">
        <v>1.0499</v>
      </c>
      <c r="K3" s="5" t="n">
        <v>0.4</v>
      </c>
      <c r="L3" s="5" t="inlineStr">
        <is>
          <t>-</t>
        </is>
      </c>
      <c r="M3" s="5" t="inlineStr">
        <is>
          <t>-</t>
        </is>
      </c>
      <c r="N3" s="5" t="inlineStr">
        <is>
          <t>-</t>
        </is>
      </c>
      <c r="O3" s="5" t="inlineStr">
        <is>
          <t>-</t>
        </is>
      </c>
      <c r="P3" s="5" t="n">
        <v>0.0009</v>
      </c>
      <c r="Q3" s="5" t="inlineStr">
        <is>
          <t>-</t>
        </is>
      </c>
      <c r="R3" s="5" t="n">
        <v>0.638</v>
      </c>
      <c r="S3" s="5" t="inlineStr">
        <is>
          <t>-</t>
        </is>
      </c>
      <c r="T3" s="5" t="inlineStr">
        <is>
          <t>-</t>
        </is>
      </c>
      <c r="U3" s="5" t="inlineStr">
        <is>
          <t>-</t>
        </is>
      </c>
      <c r="V3" s="5" t="inlineStr">
        <is>
          <t>-</t>
        </is>
      </c>
      <c r="W3" s="5" t="inlineStr">
        <is>
          <t>-</t>
        </is>
      </c>
      <c r="X3" s="5" t="n">
        <v>0.1914</v>
      </c>
      <c r="Y3" s="5" t="n">
        <v>0.0755</v>
      </c>
      <c r="Z3" s="5" t="n">
        <v>0.8843</v>
      </c>
    </row>
    <row r="4" ht="22.5" customHeight="1">
      <c r="A4" s="2" t="inlineStr">
        <is>
          <t>Tempo_Iteracao_Media</t>
        </is>
      </c>
      <c r="B4" s="3" t="n">
        <v>21.3974</v>
      </c>
      <c r="C4" s="3" t="n">
        <v>14.5799</v>
      </c>
      <c r="D4" s="3" t="n">
        <v>3.7735</v>
      </c>
      <c r="E4" s="3" t="n">
        <v>0.5591</v>
      </c>
      <c r="F4" s="3" t="n">
        <v>5.3046</v>
      </c>
      <c r="G4" s="3" t="n">
        <v>0.0133</v>
      </c>
      <c r="H4" s="3" t="n">
        <v>18.8517</v>
      </c>
      <c r="I4" s="3" t="n">
        <v>55.2038</v>
      </c>
      <c r="J4" s="3" t="n">
        <v>2.6453</v>
      </c>
      <c r="K4" s="3" t="n">
        <v>0.8139</v>
      </c>
      <c r="L4" s="3" t="n">
        <v>1.4972</v>
      </c>
      <c r="M4" s="3" t="n">
        <v>2.137</v>
      </c>
      <c r="N4" s="3" t="n">
        <v>475.0938</v>
      </c>
      <c r="O4" s="3" t="n">
        <v>0.0346</v>
      </c>
      <c r="P4" s="3" t="n">
        <v>0.0068</v>
      </c>
      <c r="Q4" s="3" t="n">
        <v>0.0288</v>
      </c>
      <c r="R4" s="3" t="n">
        <v>0.8054</v>
      </c>
      <c r="S4" s="3" t="n">
        <v>0.9122</v>
      </c>
      <c r="T4" s="3" t="n">
        <v>15155.1277</v>
      </c>
      <c r="U4" s="3" t="n">
        <v>1.4763</v>
      </c>
      <c r="V4" s="3" t="n">
        <v>2.726</v>
      </c>
      <c r="W4" s="3" t="n">
        <v>0.0171</v>
      </c>
      <c r="X4" s="3" t="n">
        <v>0.2647</v>
      </c>
      <c r="Y4" s="3" t="n">
        <v>0.5054999999999999</v>
      </c>
      <c r="Z4" s="3" t="n">
        <v>2.2489</v>
      </c>
    </row>
    <row r="5" ht="22.5" customHeight="1">
      <c r="A5" s="4" t="inlineStr">
        <is>
          <t>Sobrecarga_Tail (rec/it_tail)</t>
        </is>
      </c>
      <c r="B5" s="5">
        <f>IFERROR(ROUND(INDEX($A:$AA,MATCH("Tempo_Recursao_Media",$A:$A,0),COLUMN())/INDEX($A:$AA,MATCH("Tempo_Iteracao_Tail_Media",$A:$A,0),COLUMN()),3),"-")</f>
        <v/>
      </c>
      <c r="C5" s="5">
        <f>IFERROR(ROUND(INDEX($A:$AA,MATCH("Tempo_Recursao_Media",$A:$A,0),COLUMN())/INDEX($A:$AA,MATCH("Tempo_Iteracao_Tail_Media",$A:$A,0),COLUMN()),3),"-")</f>
        <v/>
      </c>
      <c r="D5" s="5">
        <f>IFERROR(ROUND(INDEX($A:$AA,MATCH("Tempo_Recursao_Media",$A:$A,0),COLUMN())/INDEX($A:$AA,MATCH("Tempo_Iteracao_Tail_Media",$A:$A,0),COLUMN()),3),"-")</f>
        <v/>
      </c>
      <c r="E5" s="5">
        <f>IFERROR(ROUND(INDEX($A:$AA,MATCH("Tempo_Recursao_Media",$A:$A,0),COLUMN())/INDEX($A:$AA,MATCH("Tempo_Iteracao_Tail_Media",$A:$A,0),COLUMN()),3),"-")</f>
        <v/>
      </c>
      <c r="F5" s="5">
        <f>IFERROR(ROUND(INDEX($A:$AA,MATCH("Tempo_Recursao_Media",$A:$A,0),COLUMN())/INDEX($A:$AA,MATCH("Tempo_Iteracao_Tail_Media",$A:$A,0),COLUMN()),3),"-")</f>
        <v/>
      </c>
      <c r="G5" s="5">
        <f>IFERROR(ROUND(INDEX($A:$AA,MATCH("Tempo_Recursao_Media",$A:$A,0),COLUMN())/INDEX($A:$AA,MATCH("Tempo_Iteracao_Tail_Media",$A:$A,0),COLUMN()),3),"-")</f>
        <v/>
      </c>
      <c r="H5" s="5">
        <f>IFERROR(ROUND(INDEX($A:$AA,MATCH("Tempo_Recursao_Media",$A:$A,0),COLUMN())/INDEX($A:$AA,MATCH("Tempo_Iteracao_Tail_Media",$A:$A,0),COLUMN()),3),"-")</f>
        <v/>
      </c>
      <c r="I5" s="5">
        <f>IFERROR(ROUND(INDEX($A:$AA,MATCH("Tempo_Recursao_Media",$A:$A,0),COLUMN())/INDEX($A:$AA,MATCH("Tempo_Iteracao_Tail_Media",$A:$A,0),COLUMN()),3),"-")</f>
        <v/>
      </c>
      <c r="J5" s="5">
        <f>IFERROR(ROUND(INDEX($A:$AA,MATCH("Tempo_Recursao_Media",$A:$A,0),COLUMN())/INDEX($A:$AA,MATCH("Tempo_Iteracao_Tail_Media",$A:$A,0),COLUMN()),3),"-")</f>
        <v/>
      </c>
      <c r="K5" s="5">
        <f>IFERROR(ROUND(INDEX($A:$AA,MATCH("Tempo_Recursao_Media",$A:$A,0),COLUMN())/INDEX($A:$AA,MATCH("Tempo_Iteracao_Tail_Media",$A:$A,0),COLUMN()),3),"-")</f>
        <v/>
      </c>
      <c r="L5" s="5">
        <f>IFERROR(ROUND(INDEX($A:$AA,MATCH("Tempo_Recursao_Media",$A:$A,0),COLUMN())/INDEX($A:$AA,MATCH("Tempo_Iteracao_Tail_Media",$A:$A,0),COLUMN()),3),"-")</f>
        <v/>
      </c>
      <c r="M5" s="5">
        <f>IFERROR(ROUND(INDEX($A:$AA,MATCH("Tempo_Recursao_Media",$A:$A,0),COLUMN())/INDEX($A:$AA,MATCH("Tempo_Iteracao_Tail_Media",$A:$A,0),COLUMN()),3),"-")</f>
        <v/>
      </c>
      <c r="N5" s="5">
        <f>IFERROR(ROUND(INDEX($A:$AA,MATCH("Tempo_Recursao_Media",$A:$A,0),COLUMN())/INDEX($A:$AA,MATCH("Tempo_Iteracao_Tail_Media",$A:$A,0),COLUMN()),3),"-")</f>
        <v/>
      </c>
      <c r="O5" s="5">
        <f>IFERROR(ROUND(INDEX($A:$AA,MATCH("Tempo_Recursao_Media",$A:$A,0),COLUMN())/INDEX($A:$AA,MATCH("Tempo_Iteracao_Tail_Media",$A:$A,0),COLUMN()),3),"-")</f>
        <v/>
      </c>
      <c r="P5" s="5">
        <f>IFERROR(ROUND(INDEX($A:$AA,MATCH("Tempo_Recursao_Media",$A:$A,0),COLUMN())/INDEX($A:$AA,MATCH("Tempo_Iteracao_Tail_Media",$A:$A,0),COLUMN()),3),"-")</f>
        <v/>
      </c>
      <c r="Q5" s="5">
        <f>IFERROR(ROUND(INDEX($A:$AA,MATCH("Tempo_Recursao_Media",$A:$A,0),COLUMN())/INDEX($A:$AA,MATCH("Tempo_Iteracao_Tail_Media",$A:$A,0),COLUMN()),3),"-")</f>
        <v/>
      </c>
      <c r="R5" s="5">
        <f>IFERROR(ROUND(INDEX($A:$AA,MATCH("Tempo_Recursao_Media",$A:$A,0),COLUMN())/INDEX($A:$AA,MATCH("Tempo_Iteracao_Tail_Media",$A:$A,0),COLUMN()),3),"-")</f>
        <v/>
      </c>
      <c r="S5" s="5">
        <f>IFERROR(ROUND(INDEX($A:$AA,MATCH("Tempo_Recursao_Media",$A:$A,0),COLUMN())/INDEX($A:$AA,MATCH("Tempo_Iteracao_Tail_Media",$A:$A,0),COLUMN()),3),"-")</f>
        <v/>
      </c>
      <c r="T5" s="5">
        <f>IFERROR(ROUND(INDEX($A:$AA,MATCH("Tempo_Recursao_Media",$A:$A,0),COLUMN())/INDEX($A:$AA,MATCH("Tempo_Iteracao_Tail_Media",$A:$A,0),COLUMN()),3),"-")</f>
        <v/>
      </c>
      <c r="U5" s="5">
        <f>IFERROR(ROUND(INDEX($A:$AA,MATCH("Tempo_Recursao_Media",$A:$A,0),COLUMN())/INDEX($A:$AA,MATCH("Tempo_Iteracao_Tail_Media",$A:$A,0),COLUMN()),3),"-")</f>
        <v/>
      </c>
      <c r="V5" s="5">
        <f>IFERROR(ROUND(INDEX($A:$AA,MATCH("Tempo_Recursao_Media",$A:$A,0),COLUMN())/INDEX($A:$AA,MATCH("Tempo_Iteracao_Tail_Media",$A:$A,0),COLUMN()),3),"-")</f>
        <v/>
      </c>
      <c r="W5" s="5">
        <f>IFERROR(ROUND(INDEX($A:$AA,MATCH("Tempo_Recursao_Media",$A:$A,0),COLUMN())/INDEX($A:$AA,MATCH("Tempo_Iteracao_Tail_Media",$A:$A,0),COLUMN()),3),"-")</f>
        <v/>
      </c>
      <c r="X5" s="5">
        <f>IFERROR(ROUND(INDEX($A:$AA,MATCH("Tempo_Recursao_Media",$A:$A,0),COLUMN())/INDEX($A:$AA,MATCH("Tempo_Iteracao_Tail_Media",$A:$A,0),COLUMN()),3),"-")</f>
        <v/>
      </c>
      <c r="Y5" s="5">
        <f>IFERROR(ROUND(INDEX($A:$AA,MATCH("Tempo_Recursao_Media",$A:$A,0),COLUMN())/INDEX($A:$AA,MATCH("Tempo_Iteracao_Tail_Media",$A:$A,0),COLUMN()),3),"-")</f>
        <v/>
      </c>
      <c r="Z5" s="5">
        <f>IFERROR(ROUND(INDEX($A:$AA,MATCH("Tempo_Recursao_Media",$A:$A,0),COLUMN())/INDEX($A:$AA,MATCH("Tempo_Iteracao_Tail_Media",$A:$A,0),COLUMN()),3),"-")</f>
        <v/>
      </c>
    </row>
    <row r="6" ht="22.5" customHeight="1">
      <c r="A6" s="2" t="inlineStr">
        <is>
          <t>Sobrecarga (rec/it_normal)</t>
        </is>
      </c>
      <c r="B6" s="3">
        <f>IFERROR(ROUND(INDEX($A:$AA,MATCH("Tempo_Recursao_Media",$A:$A,0),COLUMN())/INDEX($A:$AA,MATCH("Tempo_Iteracao_Media",$A:$A,0),COLUMN()),3),"-")</f>
        <v/>
      </c>
      <c r="C6" s="3">
        <f>IFERROR(ROUND(INDEX($A:$AA,MATCH("Tempo_Recursao_Media",$A:$A,0),COLUMN())/INDEX($A:$AA,MATCH("Tempo_Iteracao_Media",$A:$A,0),COLUMN()),3),"-")</f>
        <v/>
      </c>
      <c r="D6" s="3">
        <f>IFERROR(ROUND(INDEX($A:$AA,MATCH("Tempo_Recursao_Media",$A:$A,0),COLUMN())/INDEX($A:$AA,MATCH("Tempo_Iteracao_Media",$A:$A,0),COLUMN()),3),"-")</f>
        <v/>
      </c>
      <c r="E6" s="3">
        <f>IFERROR(ROUND(INDEX($A:$AA,MATCH("Tempo_Recursao_Media",$A:$A,0),COLUMN())/INDEX($A:$AA,MATCH("Tempo_Iteracao_Media",$A:$A,0),COLUMN()),3),"-")</f>
        <v/>
      </c>
      <c r="F6" s="3">
        <f>IFERROR(ROUND(INDEX($A:$AA,MATCH("Tempo_Recursao_Media",$A:$A,0),COLUMN())/INDEX($A:$AA,MATCH("Tempo_Iteracao_Media",$A:$A,0),COLUMN()),3),"-")</f>
        <v/>
      </c>
      <c r="G6" s="3">
        <f>IFERROR(ROUND(INDEX($A:$AA,MATCH("Tempo_Recursao_Media",$A:$A,0),COLUMN())/INDEX($A:$AA,MATCH("Tempo_Iteracao_Media",$A:$A,0),COLUMN()),3),"-")</f>
        <v/>
      </c>
      <c r="H6" s="3">
        <f>IFERROR(ROUND(INDEX($A:$AA,MATCH("Tempo_Recursao_Media",$A:$A,0),COLUMN())/INDEX($A:$AA,MATCH("Tempo_Iteracao_Media",$A:$A,0),COLUMN()),3),"-")</f>
        <v/>
      </c>
      <c r="I6" s="3">
        <f>IFERROR(ROUND(INDEX($A:$AA,MATCH("Tempo_Recursao_Media",$A:$A,0),COLUMN())/INDEX($A:$AA,MATCH("Tempo_Iteracao_Media",$A:$A,0),COLUMN()),3),"-")</f>
        <v/>
      </c>
      <c r="J6" s="3">
        <f>IFERROR(ROUND(INDEX($A:$AA,MATCH("Tempo_Recursao_Media",$A:$A,0),COLUMN())/INDEX($A:$AA,MATCH("Tempo_Iteracao_Media",$A:$A,0),COLUMN()),3),"-")</f>
        <v/>
      </c>
      <c r="K6" s="3">
        <f>IFERROR(ROUND(INDEX($A:$AA,MATCH("Tempo_Recursao_Media",$A:$A,0),COLUMN())/INDEX($A:$AA,MATCH("Tempo_Iteracao_Media",$A:$A,0),COLUMN()),3),"-")</f>
        <v/>
      </c>
      <c r="L6" s="3">
        <f>IFERROR(ROUND(INDEX($A:$AA,MATCH("Tempo_Recursao_Media",$A:$A,0),COLUMN())/INDEX($A:$AA,MATCH("Tempo_Iteracao_Media",$A:$A,0),COLUMN()),3),"-")</f>
        <v/>
      </c>
      <c r="M6" s="3">
        <f>IFERROR(ROUND(INDEX($A:$AA,MATCH("Tempo_Recursao_Media",$A:$A,0),COLUMN())/INDEX($A:$AA,MATCH("Tempo_Iteracao_Media",$A:$A,0),COLUMN()),3),"-")</f>
        <v/>
      </c>
      <c r="N6" s="3">
        <f>IFERROR(ROUND(INDEX($A:$AA,MATCH("Tempo_Recursao_Media",$A:$A,0),COLUMN())/INDEX($A:$AA,MATCH("Tempo_Iteracao_Media",$A:$A,0),COLUMN()),3),"-")</f>
        <v/>
      </c>
      <c r="O6" s="3">
        <f>IFERROR(ROUND(INDEX($A:$AA,MATCH("Tempo_Recursao_Media",$A:$A,0),COLUMN())/INDEX($A:$AA,MATCH("Tempo_Iteracao_Media",$A:$A,0),COLUMN()),3),"-")</f>
        <v/>
      </c>
      <c r="P6" s="3">
        <f>IFERROR(ROUND(INDEX($A:$AA,MATCH("Tempo_Recursao_Media",$A:$A,0),COLUMN())/INDEX($A:$AA,MATCH("Tempo_Iteracao_Media",$A:$A,0),COLUMN()),3),"-")</f>
        <v/>
      </c>
      <c r="Q6" s="3">
        <f>IFERROR(ROUND(INDEX($A:$AA,MATCH("Tempo_Recursao_Media",$A:$A,0),COLUMN())/INDEX($A:$AA,MATCH("Tempo_Iteracao_Media",$A:$A,0),COLUMN()),3),"-")</f>
        <v/>
      </c>
      <c r="R6" s="3">
        <f>IFERROR(ROUND(INDEX($A:$AA,MATCH("Tempo_Recursao_Media",$A:$A,0),COLUMN())/INDEX($A:$AA,MATCH("Tempo_Iteracao_Media",$A:$A,0),COLUMN()),3),"-")</f>
        <v/>
      </c>
      <c r="S6" s="3">
        <f>IFERROR(ROUND(INDEX($A:$AA,MATCH("Tempo_Recursao_Media",$A:$A,0),COLUMN())/INDEX($A:$AA,MATCH("Tempo_Iteracao_Media",$A:$A,0),COLUMN()),3),"-")</f>
        <v/>
      </c>
      <c r="T6" s="3">
        <f>IFERROR(ROUND(INDEX($A:$AA,MATCH("Tempo_Recursao_Media",$A:$A,0),COLUMN())/INDEX($A:$AA,MATCH("Tempo_Iteracao_Media",$A:$A,0),COLUMN()),3),"-")</f>
        <v/>
      </c>
      <c r="U6" s="3">
        <f>IFERROR(ROUND(INDEX($A:$AA,MATCH("Tempo_Recursao_Media",$A:$A,0),COLUMN())/INDEX($A:$AA,MATCH("Tempo_Iteracao_Media",$A:$A,0),COLUMN()),3),"-")</f>
        <v/>
      </c>
      <c r="V6" s="3">
        <f>IFERROR(ROUND(INDEX($A:$AA,MATCH("Tempo_Recursao_Media",$A:$A,0),COLUMN())/INDEX($A:$AA,MATCH("Tempo_Iteracao_Media",$A:$A,0),COLUMN()),3),"-")</f>
        <v/>
      </c>
      <c r="W6" s="3">
        <f>IFERROR(ROUND(INDEX($A:$AA,MATCH("Tempo_Recursao_Media",$A:$A,0),COLUMN())/INDEX($A:$AA,MATCH("Tempo_Iteracao_Media",$A:$A,0),COLUMN()),3),"-")</f>
        <v/>
      </c>
      <c r="X6" s="3">
        <f>IFERROR(ROUND(INDEX($A:$AA,MATCH("Tempo_Recursao_Media",$A:$A,0),COLUMN())/INDEX($A:$AA,MATCH("Tempo_Iteracao_Media",$A:$A,0),COLUMN()),3),"-")</f>
        <v/>
      </c>
      <c r="Y6" s="3">
        <f>IFERROR(ROUND(INDEX($A:$AA,MATCH("Tempo_Recursao_Media",$A:$A,0),COLUMN())/INDEX($A:$AA,MATCH("Tempo_Iteracao_Media",$A:$A,0),COLUMN()),3),"-")</f>
        <v/>
      </c>
      <c r="Z6" s="3">
        <f>IFERROR(ROUND(INDEX($A:$AA,MATCH("Tempo_Recursao_Media",$A:$A,0),COLUMN())/INDEX($A:$AA,MATCH("Tempo_Iteracao_Media",$A:$A,0),COLUMN()),3),"-")</f>
        <v/>
      </c>
    </row>
    <row r="7" ht="22.5" customHeight="1">
      <c r="A7" s="4" t="inlineStr">
        <is>
          <t>Numero_Iteracoes</t>
        </is>
      </c>
      <c r="B7" s="5" t="n">
        <v>100</v>
      </c>
      <c r="C7" s="5" t="n">
        <v>100</v>
      </c>
      <c r="D7" s="5" t="n">
        <v>1000</v>
      </c>
      <c r="E7" s="5" t="n">
        <v>1</v>
      </c>
      <c r="F7" s="5" t="n">
        <v>100</v>
      </c>
      <c r="G7" s="5" t="n">
        <v>1000</v>
      </c>
      <c r="H7" s="5" t="n">
        <v>1000</v>
      </c>
      <c r="I7" s="5" t="n">
        <v>1000</v>
      </c>
      <c r="J7" s="5" t="n">
        <v>1000</v>
      </c>
      <c r="K7" s="5" t="n">
        <v>1000</v>
      </c>
      <c r="L7" s="5" t="n">
        <v>1000</v>
      </c>
      <c r="M7" s="5" t="n">
        <v>1000</v>
      </c>
      <c r="N7" s="5" t="n">
        <v>100</v>
      </c>
      <c r="O7" s="5" t="n">
        <v>100000</v>
      </c>
      <c r="P7" s="5" t="n">
        <v>100000</v>
      </c>
      <c r="Q7" s="5" t="n">
        <v>10000</v>
      </c>
      <c r="R7" s="5" t="n">
        <v>1000</v>
      </c>
      <c r="S7" s="5" t="n">
        <v>1000</v>
      </c>
      <c r="T7" s="5" t="n">
        <v>1</v>
      </c>
      <c r="U7" s="5" t="n">
        <v>1000</v>
      </c>
      <c r="V7" s="5" t="n">
        <v>1000</v>
      </c>
      <c r="W7" s="5" t="n">
        <v>100000</v>
      </c>
      <c r="X7" s="5" t="n">
        <v>1000</v>
      </c>
      <c r="Y7" s="5" t="n">
        <v>1000</v>
      </c>
      <c r="Z7" s="5" t="n">
        <v>1000</v>
      </c>
    </row>
    <row r="8" ht="22.5" customHeight="1">
      <c r="A8" s="2" t="inlineStr">
        <is>
          <t>Parametros</t>
        </is>
      </c>
      <c r="B8" s="6" t="inlineStr">
        <is>
          <t>20000</t>
        </is>
      </c>
      <c r="C8" s="6" t="inlineStr">
        <is>
          <t>5000, 1</t>
        </is>
      </c>
      <c r="D8" s="6" t="inlineStr">
        <is>
          <t>[1 for i in range(10000)], 10000</t>
        </is>
      </c>
      <c r="E8" s="6" t="inlineStr">
        <is>
          <t>353410...177320(207dig), 571829...130909(207dig)</t>
        </is>
      </c>
      <c r="F8" s="6" t="inlineStr">
        <is>
          <t>list(range(1, 100001)), 1250025000, 0, max(list(range(1, 100001)))</t>
        </is>
      </c>
      <c r="G8" s="6" t="inlineStr">
        <is>
          <t>list(range(1000000)), list(range(1000000))[-1] + 1</t>
        </is>
      </c>
      <c r="H8" s="6" t="inlineStr">
        <is>
          <t>list(range(10000))[:], 0, 10000 - 1, 10000 // 2</t>
        </is>
      </c>
      <c r="I8" s="6" t="inlineStr">
        <is>
          <t>'a' * 10000, 'a' * 10000</t>
        </is>
      </c>
      <c r="J8" s="6" t="inlineStr">
        <is>
          <t>list(range(1000)), -1</t>
        </is>
      </c>
      <c r="K8" s="6" t="inlineStr">
        <is>
          <t>int('1' * 1000), 2</t>
        </is>
      </c>
      <c r="L8" s="6" t="inlineStr">
        <is>
          <t>10, 'A', 'B', 'C'</t>
        </is>
      </c>
      <c r="M8" s="6" t="inlineStr">
        <is>
          <t>list(range(1000, 0, -1)), 0, 1000 - 1</t>
        </is>
      </c>
      <c r="N8" s="6" t="inlineStr">
        <is>
          <t>12</t>
        </is>
      </c>
      <c r="O8" s="6" t="inlineStr">
        <is>
          <t>2, 10000</t>
        </is>
      </c>
      <c r="P8" s="6" t="inlineStr">
        <is>
          <t>(1 &lt;&lt; 20) - 1</t>
        </is>
      </c>
      <c r="Q8" s="6" t="inlineStr">
        <is>
          <t>[[i, [i + 1]] for i in range(0, 20, 2)]</t>
        </is>
      </c>
      <c r="R8" s="6" t="inlineStr">
        <is>
          <t>list(range(500))</t>
        </is>
      </c>
      <c r="S8" s="6" t="inlineStr">
        <is>
          <t>build_bst(list(range(1000)))</t>
        </is>
      </c>
      <c r="T8" s="6" t="inlineStr">
        <is>
          <t>35</t>
        </is>
      </c>
      <c r="U8" s="6" t="inlineStr">
        <is>
          <t>200</t>
        </is>
      </c>
      <c r="V8" s="6" t="inlineStr">
        <is>
          <t>['1', 'abc', '3', None, '5'] * 200</t>
        </is>
      </c>
      <c r="W8" s="6" t="inlineStr">
        <is>
          <t>[1, [2, [3, 4]], [5, 6], {'value': 7}, None, False]</t>
        </is>
      </c>
      <c r="X8" s="6" t="inlineStr">
        <is>
          <t>dict({str(i): i for i in range(500)}), [str(i) for i in range(0, 500, 2)]</t>
        </is>
      </c>
      <c r="Y8" s="6" t="inlineStr">
        <is>
          <t>list(range(1000)), lambda x: x &gt; 5000</t>
        </is>
      </c>
      <c r="Z8" s="6" t="inlineStr">
        <is>
          <t>[1, 2, 3] * (1000 // 3), 2</t>
        </is>
      </c>
    </row>
    <row r="9" ht="22.5" customHeight="1">
      <c r="A9" s="4" t="inlineStr">
        <is>
          <t>Complexidade de resolução</t>
        </is>
      </c>
      <c r="B9" s="5" t="inlineStr">
        <is>
          <t>O(n)</t>
        </is>
      </c>
      <c r="C9" s="5" t="inlineStr">
        <is>
          <t>O(n)</t>
        </is>
      </c>
      <c r="D9" s="5" t="inlineStr">
        <is>
          <t>O(n)</t>
        </is>
      </c>
      <c r="E9" s="5" t="inlineStr">
        <is>
          <t>O(log min(a,b))</t>
        </is>
      </c>
      <c r="F9" s="5" t="inlineStr">
        <is>
          <t>O(n log m)</t>
        </is>
      </c>
      <c r="G9" s="5" t="inlineStr">
        <is>
          <t>O(log n)</t>
        </is>
      </c>
      <c r="H9" s="5" t="inlineStr">
        <is>
          <t>O(n) médio / O(n²) pior caso</t>
        </is>
      </c>
      <c r="I9" s="5" t="inlineStr">
        <is>
          <t>O(n)</t>
        </is>
      </c>
      <c r="J9" s="5" t="inlineStr">
        <is>
          <t>O(n)</t>
        </is>
      </c>
      <c r="K9" s="5" t="inlineStr">
        <is>
          <t>O(log n)</t>
        </is>
      </c>
      <c r="L9" s="5" t="inlineStr">
        <is>
          <t>O(2ⁿ)</t>
        </is>
      </c>
      <c r="M9" s="5" t="inlineStr">
        <is>
          <t>O(n log n)</t>
        </is>
      </c>
      <c r="N9" s="5" t="inlineStr">
        <is>
          <t>O(4ⁿ / n^1.5)</t>
        </is>
      </c>
      <c r="O9" s="5" t="inlineStr">
        <is>
          <t>O(log exp)</t>
        </is>
      </c>
      <c r="P9" s="5" t="inlineStr">
        <is>
          <t>O(log n)</t>
        </is>
      </c>
      <c r="Q9" s="5" t="inlineStr">
        <is>
          <t>O(n²)</t>
        </is>
      </c>
      <c r="R9" s="5" t="inlineStr">
        <is>
          <t>O(n²)</t>
        </is>
      </c>
      <c r="S9" s="5" t="inlineStr">
        <is>
          <t>O(n)</t>
        </is>
      </c>
      <c r="T9" s="5" t="inlineStr">
        <is>
          <t>O(n)</t>
        </is>
      </c>
      <c r="U9" s="5" t="inlineStr">
        <is>
          <t>O(n)</t>
        </is>
      </c>
      <c r="V9" s="5" t="inlineStr">
        <is>
          <t>O(n²)</t>
        </is>
      </c>
      <c r="W9" s="5" t="inlineStr">
        <is>
          <t>O(n)</t>
        </is>
      </c>
      <c r="X9" s="5" t="inlineStr">
        <is>
          <t>O(k²)</t>
        </is>
      </c>
      <c r="Y9" s="5" t="inlineStr">
        <is>
          <t>O(n)</t>
        </is>
      </c>
      <c r="Z9" s="5" t="inlineStr">
        <is>
          <t>O(n²)</t>
        </is>
      </c>
    </row>
    <row r="10" ht="22.5" customHeight="1">
      <c r="A10" s="2" t="inlineStr">
        <is>
          <t>Obs</t>
        </is>
      </c>
      <c r="B10" s="6" t="inlineStr"/>
      <c r="C10" s="6" t="inlineStr"/>
      <c r="D10" s="6" t="inlineStr"/>
      <c r="E10" s="6" t="inlineStr"/>
      <c r="F10" s="6" t="inlineStr">
        <is>
          <t>n = nº de árvores, m = intervalo de altura</t>
        </is>
      </c>
      <c r="G10" s="6" t="inlineStr"/>
      <c r="H10" s="6" t="inlineStr">
        <is>
          <t>Depende da escolha do pivô</t>
        </is>
      </c>
      <c r="I10" s="6" t="inlineStr">
        <is>
          <t>n = tamanho da string</t>
        </is>
      </c>
      <c r="J10" s="6" t="inlineStr"/>
      <c r="K10" s="6" t="inlineStr"/>
      <c r="L10" s="6" t="inlineStr">
        <is>
          <t>Gera 2ⁿ − 1 movimentos obrigatoriamente</t>
        </is>
      </c>
      <c r="M10" s="6" t="inlineStr"/>
      <c r="N10" s="6" t="inlineStr"/>
      <c r="O10" s="6" t="inlineStr">
        <is>
          <t>exp reduz pela metade a cada dois passos</t>
        </is>
      </c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2026-07-07T11:40:52Z</dcterms:created>
  <dcterms:modified xsi:type="dcterms:W3CDTF">2026-07-07T11:40:52Z</dcterms:modified>
</cp:coreProperties>
</file>